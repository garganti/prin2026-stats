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a33e95ef9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" sheetId="1" r:id="Rf5f6315ca90b40cd"/>
    <x:sheet xmlns:r="http://schemas.openxmlformats.org/officeDocument/2006/relationships" name="Progetti" sheetId="2" r:id="R6e7a640797fe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@"/>
  </x:numFmts>
  <x:fonts count="7">
    <x:font>
      <x:sz val="11"/>
      <x:name val="Carlito"/>
    </x:font>
    <x:font>
      <x:sz val="10"/>
      <x:color rgb="FF1F1F1F"/>
      <x:name val="Arial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i/>
      <x:sz val="9"/>
      <x:color rgb="FF66666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76933C"/>
      </x:patternFill>
    </x:fill>
    <x:fill>
      <x:patternFill patternType="solid">
        <x:fgColor rgb="FFF4F7EE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D9E2C3"/>
      </x:bottom>
      <x:diagonal/>
    </x:border>
    <x:border>
      <x:left/>
      <x:right/>
      <x:top style="thin">
        <x:color rgb="FFD9E2C3"/>
      </x:top>
      <x:bottom style="thin">
        <x:color rgb="FFD9E2C3"/>
      </x:bottom>
      <x:diagonal/>
    </x:border>
    <x:border>
      <x:left/>
      <x:right/>
      <x:top/>
      <x:bottom style="thin">
        <x:color rgb="FFE2EAD6"/>
      </x:bottom>
      <x:diagonal/>
    </x:border>
    <x:border>
      <x:left/>
      <x:right/>
      <x:top style="thin">
        <x:color rgb="FFE2EAD6"/>
      </x:top>
      <x:bottom style="thin">
        <x:color rgb="FFE2EAD6"/>
      </x:bottom>
      <x:diagonal/>
    </x:border>
    <x:border>
      <x:left/>
      <x:right/>
      <x:top style="thin">
        <x:color rgb="FFE2EAD6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1" fontId="1" fillId="5" borderId="4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202" fontId="1" fillId="5" borderId="4" xfId="0" applyNumberFormat="1" applyFont="1" applyFill="1" applyBorder="1" applyAlignment="1">
      <x:alignment vertical="center"/>
    </x:xf>
    <x:xf numFmtId="200" fontId="1" fillId="5" borderId="4" xfId="0" applyNumberFormat="1" applyFont="1" applyFill="1" applyBorder="1" applyAlignment="1">
      <x:alignment vertical="center"/>
    </x:xf>
    <x:xf numFmtId="201" fontId="1" fillId="5" borderId="5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202" fontId="1" fillId="5" borderId="5" xfId="0" applyNumberFormat="1" applyFont="1" applyFill="1" applyBorder="1" applyAlignment="1">
      <x:alignment vertical="center"/>
    </x:xf>
    <x:xf numFmtId="200" fontId="1" fillId="5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e1264f3d541d2" /><Relationship Type="http://schemas.openxmlformats.org/officeDocument/2006/relationships/theme" Target="/xl/theme/theme1.xml" Id="Reede6a9bc1614f4c" /><Relationship Type="http://schemas.openxmlformats.org/officeDocument/2006/relationships/sharedStrings" Target="/xl/sharedStrings.xml" Id="Rb9adaa47c0f048fe" /><Relationship Type="http://schemas.openxmlformats.org/officeDocument/2006/relationships/worksheet" Target="/xl/worksheets/sheet1.xml" Id="Rf5f6315ca90b40cd" /><Relationship Type="http://schemas.openxmlformats.org/officeDocument/2006/relationships/worksheet" Target="/xl/worksheets/sheet2.xml" Id="R6e7a640797fe48ea" /></Relationships>
</file>

<file path=xl/tables/table1.xml><?xml version="1.0" encoding="utf-8"?>
<x:table xmlns:x="http://schemas.openxmlformats.org/spreadsheetml/2006/main" id="1" name="ProgettiFinanziati" displayName="ProgettiFinanziati" ref="A4:M47" headerRowCount="1" totalsRowCount="0" totalsRowShown="0">
  <x:tableColumns count="13">
    <x:tableColumn id="1" name="N° progetto"/>
    <x:tableColumn id="2" name="Codice progetto"/>
    <x:tableColumn id="3" name="Titolo progetto"/>
    <x:tableColumn id="4" name="Ruolo"/>
    <x:tableColumn id="5" name="Responsabile unità"/>
    <x:tableColumn id="6" name="Codice unità"/>
    <x:tableColumn id="7" name="Ateneo/Ente"/>
    <x:tableColumn id="8" name="Codice Fiscale Ateneo/Ente"/>
    <x:tableColumn id="9" name="Cofinanziamento (€)"/>
    <x:tableColumn id="10" name="Contributo MUR (€)"/>
    <x:tableColumn id="11" name="Costo totale congruo (€)"/>
    <x:tableColumn id="12" name="Contributo MUR assegnato (€)"/>
    <x:tableColumn id="13" name="PI under 4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c90c3937f242f3" /></Relationships>
</file>

<file path=xl/worksheets/sheet1.xml><?xml version="1.0" encoding="utf-8"?>
<x:worksheet xmlns:x="http://schemas.openxmlformats.org/spreadsheetml/2006/main">
  <x:sheetPr>
    <x:tabColor rgb="FF76933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72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18" hidden="0" customHeight="1">
      <x:c r="A1" s="3" t="str">
        <x:v>PE5 - Tabella B - Progetti finanziati</x:v>
      </x:c>
      <x:c r="B1" s="3"/>
      <x:c r="C1" s="3"/>
      <x:c r="D1" s="3"/>
      <x:c r="E1" s="3"/>
      <x:c r="F1" s="3"/>
    </x:row>
    <x:row r="2" ht="15" hidden="0" customHeight="1">
      <x:c r="A2" s="4" t="str">
        <x:v>Riepilogo dei progetti e dei contributi indicati nel PDF allegato</x:v>
      </x:c>
      <x:c r="B2" s="4"/>
      <x:c r="C2" s="4"/>
      <x:c r="D2" s="4"/>
      <x:c r="E2" s="4"/>
      <x:c r="F2" s="4"/>
    </x:row>
    <x:row r="3" ht="15" hidden="0" customHeight="1">
      <x:c r="A3" s="2"/>
      <x:c r="B3" s="2"/>
      <x:c r="C3" s="2"/>
      <x:c r="D3" s="2"/>
      <x:c r="E3" s="2"/>
      <x:c r="F3" s="2"/>
    </x:row>
    <x:row r="4" ht="48" hidden="0" customHeight="1">
      <x:c r="A4" s="8" t="str">
        <x:v>N°</x:v>
      </x:c>
      <x:c r="B4" s="8" t="str">
        <x:v>Codice progetto</x:v>
      </x:c>
      <x:c r="C4" s="8" t="str">
        <x:v>Titolo progetto</x:v>
      </x:c>
      <x:c r="D4" s="8" t="str">
        <x:v>Cofinanziamento (€)</x:v>
      </x:c>
      <x:c r="E4" s="8" t="str">
        <x:v>Contributo MUR (€)</x:v>
      </x:c>
      <x:c r="F4" s="8" t="str">
        <x:v>Costo totale congruo (€)</x:v>
      </x:c>
    </x:row>
    <x:row r="5" ht="34" hidden="0" customHeight="1">
      <x:c r="A5" s="11" t="n">
        <x:v>1</x:v>
      </x:c>
      <x:c r="B5" s="11" t="str">
        <x:v>2026P92F5R</x:v>
      </x:c>
      <x:c r="C5" s="15" t="str">
        <x:v>Deciphering the Fusobacterial Glycocode: How Surface Glycans Drive Host Interaction and Immune Modulation FUSOGLYCOATLAS</x:v>
      </x:c>
      <x:c r="D5" s="13" t="n">
        <x:v>227114</x:v>
      </x:c>
      <x:c r="E5" s="13" t="n">
        <x:v>1033548</x:v>
      </x:c>
      <x:c r="F5" s="13" t="n">
        <x:f>D5+E5</x:f>
        <x:v>1260662</x:v>
      </x:c>
    </x:row>
    <x:row r="6" ht="34" hidden="0" customHeight="1">
      <x:c r="A6" s="12" t="n">
        <x:v>2</x:v>
      </x:c>
      <x:c r="B6" s="12" t="str">
        <x:v>2026PH9NYR</x:v>
      </x:c>
      <x:c r="C6" s="16" t="str">
        <x:v>SYnthetic molecular Machines and Pumps operaATIng in complex Environments (Sympatie)</x:v>
      </x:c>
      <x:c r="D6" s="14" t="n">
        <x:v>347539</x:v>
      </x:c>
      <x:c r="E6" s="14" t="n">
        <x:v>1031936</x:v>
      </x:c>
      <x:c r="F6" s="14" t="n">
        <x:f>D6+E6</x:f>
        <x:v>1379475</x:v>
      </x:c>
    </x:row>
    <x:row r="7" ht="34" hidden="0" customHeight="1">
      <x:c r="A7" s="12" t="n">
        <x:v>3</x:v>
      </x:c>
      <x:c r="B7" s="12" t="str">
        <x:v>2026P39CXW</x:v>
      </x:c>
      <x:c r="C7" s="16" t="str">
        <x:v>NiXome — A structural-bioinorganic atlas of human metalloproteome vulnerability to environmental nickel</x:v>
      </x:c>
      <x:c r="D7" s="14" t="n">
        <x:v>304670</x:v>
      </x:c>
      <x:c r="E7" s="14" t="n">
        <x:v>1000000</x:v>
      </x:c>
      <x:c r="F7" s="14" t="n">
        <x:f>D7+E7</x:f>
        <x:v>1304670</x:v>
      </x:c>
    </x:row>
    <x:row r="8" ht="34" hidden="0" customHeight="1">
      <x:c r="A8" s="12" t="n">
        <x:v>4</x:v>
      </x:c>
      <x:c r="B8" s="12" t="str">
        <x:v>2026PZX45Y</x:v>
      </x:c>
      <x:c r="C8" s="16" t="str">
        <x:v>TWIST — ToWard chiral light from Inverted Singlet-Triplet emitters</x:v>
      </x:c>
      <x:c r="D8" s="14" t="n">
        <x:v>224417</x:v>
      </x:c>
      <x:c r="E8" s="14" t="n">
        <x:v>1038334</x:v>
      </x:c>
      <x:c r="F8" s="14" t="n">
        <x:f>D8+E8</x:f>
        <x:v>1262751</x:v>
      </x:c>
    </x:row>
    <x:row r="9" ht="34" hidden="0" customHeight="1">
      <x:c r="A9" s="12" t="n">
        <x:v>5</x:v>
      </x:c>
      <x:c r="B9" s="12" t="str">
        <x:v>2026PPBFKX</x:v>
      </x:c>
      <x:c r="C9" s="16" t="str">
        <x:v>SPIRAL: Chirality-Driven SPIN Control of Photocatalytic Water Splitting</x:v>
      </x:c>
      <x:c r="D9" s="14" t="n">
        <x:v>417026</x:v>
      </x:c>
      <x:c r="E9" s="14" t="n">
        <x:v>1038331</x:v>
      </x:c>
      <x:c r="F9" s="14" t="n">
        <x:f>D9+E9</x:f>
        <x:v>1455357</x:v>
      </x:c>
    </x:row>
    <x:row r="10" ht="34" hidden="0" customHeight="1">
      <x:c r="A10" s="12" t="n">
        <x:v>6</x:v>
      </x:c>
      <x:c r="B10" s="12" t="str">
        <x:v>2026PC3LM3</x:v>
      </x:c>
      <x:c r="C10" s="16" t="str">
        <x:v>Spatially Programmed 3D Adsorbents for Carbon dioxidE capture under competitive water conditions (3D-SPACE)</x:v>
      </x:c>
      <x:c r="D10" s="14" t="n">
        <x:v>289998</x:v>
      </x:c>
      <x:c r="E10" s="14" t="n">
        <x:v>1036401</x:v>
      </x:c>
      <x:c r="F10" s="14" t="n">
        <x:f>D10+E10</x:f>
        <x:v>1326399</x:v>
      </x:c>
    </x:row>
    <x:row r="11" ht="34" hidden="0" customHeight="1">
      <x:c r="A11" s="12" t="n">
        <x:v>7</x:v>
      </x:c>
      <x:c r="B11" s="12" t="str">
        <x:v>2026P2CL48</x:v>
      </x:c>
      <x:c r="C11" s="16" t="str">
        <x:v>FLUOride TRAPping through bridged dimeric metal complexes: A platform for possible in kit 18F-labelling and Theranostic applications (FLUOTRAP)</x:v>
      </x:c>
      <x:c r="D11" s="14" t="n">
        <x:v>238598</x:v>
      </x:c>
      <x:c r="E11" s="14" t="n">
        <x:v>1013119</x:v>
      </x:c>
      <x:c r="F11" s="14" t="n">
        <x:f>D11+E11</x:f>
        <x:v>1251717</x:v>
      </x:c>
    </x:row>
    <x:row r="12" ht="34" hidden="0" customHeight="1">
      <x:c r="A12" s="12" t="n">
        <x:v>8</x:v>
      </x:c>
      <x:c r="B12" s="12" t="str">
        <x:v>2026PKEPBB</x:v>
      </x:c>
      <x:c r="C12" s="16" t="str">
        <x:v>Cross-coupling strategies for the sustainable synthesis of biologically active compounds - XSus</x:v>
      </x:c>
      <x:c r="D12" s="14" t="n">
        <x:v>290276</x:v>
      </x:c>
      <x:c r="E12" s="14" t="n">
        <x:v>1026661</x:v>
      </x:c>
      <x:c r="F12" s="14" t="n">
        <x:f>D12+E12</x:f>
        <x:v>1316937</x:v>
      </x:c>
    </x:row>
    <x:row r="13" ht="15" hidden="0" customHeight="1">
      <x:c r="A13" s="2"/>
      <x:c r="B13" s="2"/>
      <x:c r="C13" s="2"/>
      <x:c r="D13" s="2"/>
      <x:c r="E13" s="2"/>
      <x:c r="F13" s="2"/>
    </x:row>
    <x:row r="14" ht="15" hidden="0" customHeight="1">
      <x:c r="A14" s="18" t="str">
        <x:v>TOTALE COMPLESSIVO</x:v>
      </x:c>
      <x:c r="B14" s="18" t="str"/>
      <x:c r="C14" s="18" t="str"/>
      <x:c r="D14" s="19" t="n">
        <x:f>SUM(D5:D12)</x:f>
        <x:v>2339638</x:v>
      </x:c>
      <x:c r="E14" s="19" t="n">
        <x:v>8218330</x:v>
      </x:c>
      <x:c r="F14" s="19" t="n">
        <x:f>D14+E14</x:f>
        <x:v>10557968</x:v>
      </x:c>
    </x:row>
    <x:row r="15" ht="15" hidden="0" customHeight="1">
      <x:c r="A15" s="2"/>
      <x:c r="B15" s="2"/>
      <x:c r="C15" s="2"/>
      <x:c r="D15" s="2"/>
      <x:c r="E15" s="2"/>
      <x:c r="F15" s="2"/>
    </x:row>
    <x:row r="16" ht="21.600000381469727" hidden="0" customHeight="1">
      <x:c r="A16" s="21" t="str">
        <x:v>Nota: nel PDF sono indicati in verde i progetti presentati da PI under 40. Il progetto n. 8 è stato evidenziato di conseguenza.</x:v>
      </x:c>
      <x:c r="B16" s="21"/>
      <x:c r="C16" s="21"/>
      <x:c r="D16" s="21"/>
      <x:c r="E16" s="21"/>
      <x:c r="F16" s="21"/>
    </x:row>
    <x:row r="17" ht="15" hidden="0" customHeight="1">
      <x:c r="A17" s="2"/>
      <x:c r="B17" s="2"/>
      <x:c r="C17" s="2"/>
      <x:c r="D17" s="2"/>
      <x:c r="E17" s="2"/>
      <x:c r="F17" s="2"/>
    </x:row>
    <x:row r="18" ht="15" hidden="0" customHeight="1">
      <x:c r="A18" s="20" t="str">
        <x:v>Fonte: PE5 - Tabella B - Progetti finanziati, PDF allegato.</x:v>
      </x:c>
      <x:c r="B18" s="20"/>
      <x:c r="C18" s="20"/>
      <x:c r="D18" s="20"/>
      <x:c r="E18" s="20"/>
      <x:c r="F18" s="20"/>
    </x:row>
  </x:sheetData>
  <x:mergeCells>
    <x:mergeCell ref="A1:F1"/>
    <x:mergeCell ref="A2:F2"/>
    <x:mergeCell ref="A16:F16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6933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58" hidden="0" customWidth="1"/>
    <x:col min="4" max="4" width="9" hidden="0" customWidth="1"/>
    <x:col min="5" max="5" width="24" hidden="0" customWidth="1"/>
    <x:col min="6" max="6" width="18" hidden="0" customWidth="1"/>
    <x:col min="7" max="7" width="48" hidden="0" customWidth="1"/>
    <x:col min="8" max="8" width="18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2" hidden="0" customWidth="1"/>
  </x:cols>
  <x:sheetData>
    <x:row r="1" ht="18" hidden="0" customHeight="1">
      <x:c r="A1" s="3" t="str">
        <x:v>PE5 - Tabella B - Progetti finanziati - Dettaglio delle unità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5" hidden="0" customHeight="1">
      <x:c r="A2" s="4" t="str">
        <x:v>Dati normalizzati dal PDF per consentire filtri, ordinamenti e analisi in Excel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hidden="0" customHeight="1">
      <x:c r="A4" s="8" t="str">
        <x:v>N° progetto</x:v>
      </x:c>
      <x:c r="B4" s="8" t="str">
        <x:v>Codice progetto</x:v>
      </x:c>
      <x:c r="C4" s="8" t="str">
        <x:v>Titolo progetto</x:v>
      </x:c>
      <x:c r="D4" s="8" t="str">
        <x:v>Ruolo</x:v>
      </x:c>
      <x:c r="E4" s="8" t="str">
        <x:v>Responsabile unità</x:v>
      </x:c>
      <x:c r="F4" s="8" t="str">
        <x:v>Codice unità</x:v>
      </x:c>
      <x:c r="G4" s="8" t="str">
        <x:v>Ateneo/Ente</x:v>
      </x:c>
      <x:c r="H4" s="8" t="str">
        <x:v>Codice Fiscale Ateneo/Ente</x:v>
      </x:c>
      <x:c r="I4" s="8" t="str">
        <x:v>Cofinanziamento (€)</x:v>
      </x:c>
      <x:c r="J4" s="8" t="str">
        <x:v>Contributo MUR (€)</x:v>
      </x:c>
      <x:c r="K4" s="8" t="str">
        <x:v>Costo totale congruo (€)</x:v>
      </x:c>
      <x:c r="L4" s="8" t="str">
        <x:v>Contributo MUR assegnato (€)</x:v>
      </x:c>
      <x:c r="M4" s="8" t="str">
        <x:v>PI under 40</x:v>
      </x:c>
    </x:row>
    <x:row r="5">
      <x:c r="A5" s="28" t="n">
        <x:v>1</x:v>
      </x:c>
      <x:c r="B5" s="22" t="str">
        <x:v>2026P92F5R</x:v>
      </x:c>
      <x:c r="C5" s="22" t="str">
        <x:v>Deciphering the Fusobacterial Glycocode: How Surface Glycans Drive Host Interaction and Immune Modulation FUSOGLYCOATLAS</x:v>
      </x:c>
      <x:c r="D5" s="22" t="str">
        <x:v>PI</x:v>
      </x:c>
      <x:c r="E5" s="22" t="str">
        <x:v>SILIPO Alba</x:v>
      </x:c>
      <x:c r="F5" s="22" t="str">
        <x:v>2026P92F5R_001</x:v>
      </x:c>
      <x:c r="G5" s="22" t="str">
        <x:v>Università degli Studi di Napoli Federico II</x:v>
      </x:c>
      <x:c r="H5" s="31" t="str">
        <x:v>00876220633</x:v>
      </x:c>
      <x:c r="I5" s="25" t="n">
        <x:v>79854</x:v>
      </x:c>
      <x:c r="J5" s="25" t="n">
        <x:v>247021</x:v>
      </x:c>
      <x:c r="K5" s="25" t="n">
        <x:v>326875</x:v>
      </x:c>
      <x:c r="L5" s="25" t="n">
        <x:v>247021</x:v>
      </x:c>
      <x:c r="M5" s="22" t="str">
        <x:v>No</x:v>
      </x:c>
    </x:row>
    <x:row r="6">
      <x:c r="A6" s="29" t="n">
        <x:v>1</x:v>
      </x:c>
      <x:c r="B6" s="23" t="str">
        <x:v>2026P92F5R</x:v>
      </x:c>
      <x:c r="C6" s="23" t="str">
        <x:v>Deciphering the Fusobacterial Glycocode: How Surface Glycans Drive Host Interaction and Immune Modulation FUSOGLYCOATLAS</x:v>
      </x:c>
      <x:c r="D6" s="23" t="str">
        <x:v>RU</x:v>
      </x:c>
      <x:c r="E6" s="23" t="str">
        <x:v>NATIVI Cristina</x:v>
      </x:c>
      <x:c r="F6" s="23" t="str">
        <x:v>2026P92F5R_002</x:v>
      </x:c>
      <x:c r="G6" s="23" t="str">
        <x:v>Università degli Studi di FIRENZE</x:v>
      </x:c>
      <x:c r="H6" s="32" t="str">
        <x:v>01279680480</x:v>
      </x:c>
      <x:c r="I6" s="26" t="n">
        <x:v>26426</x:v>
      </x:c>
      <x:c r="J6" s="26" t="n">
        <x:v>197362</x:v>
      </x:c>
      <x:c r="K6" s="26" t="n">
        <x:v>223788</x:v>
      </x:c>
      <x:c r="L6" s="26" t="n">
        <x:v>197362</x:v>
      </x:c>
      <x:c r="M6" s="23" t="str">
        <x:v>No</x:v>
      </x:c>
    </x:row>
    <x:row r="7">
      <x:c r="A7" s="29" t="n">
        <x:v>1</x:v>
      </x:c>
      <x:c r="B7" s="23" t="str">
        <x:v>2026P92F5R</x:v>
      </x:c>
      <x:c r="C7" s="23" t="str">
        <x:v>Deciphering the Fusobacterial Glycocode: How Surface Glycans Drive Host Interaction and Immune Modulation FUSOGLYCOATLAS</x:v>
      </x:c>
      <x:c r="D7" s="23" t="str">
        <x:v>RU</x:v>
      </x:c>
      <x:c r="E7" s="23" t="str">
        <x:v>RUSSO Laura</x:v>
      </x:c>
      <x:c r="F7" s="23" t="str">
        <x:v>2026P92F5R_003</x:v>
      </x:c>
      <x:c r="G7" s="23" t="str">
        <x:v>Università degli Studi di MILANO-BICOCCA</x:v>
      </x:c>
      <x:c r="H7" s="32" t="str">
        <x:v>12621570154</x:v>
      </x:c>
      <x:c r="I7" s="26" t="n">
        <x:v>0</x:v>
      </x:c>
      <x:c r="J7" s="26" t="n">
        <x:v>196972</x:v>
      </x:c>
      <x:c r="K7" s="26" t="n">
        <x:v>196972</x:v>
      </x:c>
      <x:c r="L7" s="26" t="n">
        <x:v>196972</x:v>
      </x:c>
      <x:c r="M7" s="23" t="str">
        <x:v>No</x:v>
      </x:c>
    </x:row>
    <x:row r="8">
      <x:c r="A8" s="29" t="n">
        <x:v>1</x:v>
      </x:c>
      <x:c r="B8" s="23" t="str">
        <x:v>2026P92F5R</x:v>
      </x:c>
      <x:c r="C8" s="23" t="str">
        <x:v>Deciphering the Fusobacterial Glycocode: How Surface Glycans Drive Host Interaction and Immune Modulation FUSOGLYCOATLAS</x:v>
      </x:c>
      <x:c r="D8" s="23" t="str">
        <x:v>RU</x:v>
      </x:c>
      <x:c r="E8" s="23" t="str">
        <x:v>CIVERA Monica</x:v>
      </x:c>
      <x:c r="F8" s="23" t="str">
        <x:v>2026P92F5R_004</x:v>
      </x:c>
      <x:c r="G8" s="23" t="str">
        <x:v>Università degli Studi di MILANO</x:v>
      </x:c>
      <x:c r="H8" s="32" t="str">
        <x:v>80012650158</x:v>
      </x:c>
      <x:c r="I8" s="26" t="n">
        <x:v>36714</x:v>
      </x:c>
      <x:c r="J8" s="26" t="n">
        <x:v>195039</x:v>
      </x:c>
      <x:c r="K8" s="26" t="n">
        <x:v>231753</x:v>
      </x:c>
      <x:c r="L8" s="26" t="n">
        <x:v>195039</x:v>
      </x:c>
      <x:c r="M8" s="23" t="str">
        <x:v>No</x:v>
      </x:c>
    </x:row>
    <x:row r="9">
      <x:c r="A9" s="29" t="n">
        <x:v>1</x:v>
      </x:c>
      <x:c r="B9" s="23" t="str">
        <x:v>2026P92F5R</x:v>
      </x:c>
      <x:c r="C9" s="23" t="str">
        <x:v>Deciphering the Fusobacterial Glycocode: How Surface Glycans Drive Host Interaction and Immune Modulation FUSOGLYCOATLAS</x:v>
      </x:c>
      <x:c r="D9" s="23" t="str">
        <x:v>RU</x:v>
      </x:c>
      <x:c r="E9" s="23" t="str">
        <x:v>D'ANDREA Cristiano</x:v>
      </x:c>
      <x:c r="F9" s="23" t="str">
        <x:v>2026P92F5R_005</x:v>
      </x:c>
      <x:c r="G9" s="23" t="str">
        <x:v>Consiglio Nazionale delle Ricerche</x:v>
      </x:c>
      <x:c r="H9" s="32" t="str">
        <x:v>80054330586</x:v>
      </x:c>
      <x:c r="I9" s="26" t="n">
        <x:v>84120</x:v>
      </x:c>
      <x:c r="J9" s="26" t="n">
        <x:v>197154</x:v>
      </x:c>
      <x:c r="K9" s="26" t="n">
        <x:v>281274</x:v>
      </x:c>
      <x:c r="L9" s="26" t="n">
        <x:v>197154</x:v>
      </x:c>
      <x:c r="M9" s="23" t="str">
        <x:v>No</x:v>
      </x:c>
    </x:row>
    <x:row r="10">
      <x:c r="A10" s="29" t="n">
        <x:v>2</x:v>
      </x:c>
      <x:c r="B10" s="23" t="str">
        <x:v>2026PH9NYR</x:v>
      </x:c>
      <x:c r="C10" s="23" t="str">
        <x:v>SYnthetic molecular Machines and Pumps operaATIng in complex Environments (Sympatie)</x:v>
      </x:c>
      <x:c r="D10" s="23" t="str">
        <x:v>PI</x:v>
      </x:c>
      <x:c r="E10" s="23" t="str">
        <x:v>CREDI Alberto</x:v>
      </x:c>
      <x:c r="F10" s="23" t="str">
        <x:v>2026PH9NYR_001</x:v>
      </x:c>
      <x:c r="G10" s="23" t="str">
        <x:v>Alma Mater Studiorum - Università di BOLOGNA</x:v>
      </x:c>
      <x:c r="H10" s="32" t="str">
        <x:v>80007010376</x:v>
      </x:c>
      <x:c r="I10" s="26" t="n">
        <x:v>92269</x:v>
      </x:c>
      <x:c r="J10" s="26" t="n">
        <x:v>256086</x:v>
      </x:c>
      <x:c r="K10" s="26" t="n">
        <x:v>348355</x:v>
      </x:c>
      <x:c r="L10" s="26" t="n">
        <x:v>256086</x:v>
      </x:c>
      <x:c r="M10" s="23" t="str">
        <x:v>No</x:v>
      </x:c>
    </x:row>
    <x:row r="11">
      <x:c r="A11" s="29" t="n">
        <x:v>2</x:v>
      </x:c>
      <x:c r="B11" s="23" t="str">
        <x:v>2026PH9NYR</x:v>
      </x:c>
      <x:c r="C11" s="23" t="str">
        <x:v>SYnthetic molecular Machines and Pumps operaATIng in complex Environments (Sympatie)</x:v>
      </x:c>
      <x:c r="D11" s="23" t="str">
        <x:v>RU</x:v>
      </x:c>
      <x:c r="E11" s="23" t="str">
        <x:v>SECCHI Andrea</x:v>
      </x:c>
      <x:c r="F11" s="23" t="str">
        <x:v>2026PH9NYR_002</x:v>
      </x:c>
      <x:c r="G11" s="23" t="str">
        <x:v>Università degli Studi di PARMA</x:v>
      </x:c>
      <x:c r="H11" s="32" t="str">
        <x:v>00308780345</x:v>
      </x:c>
      <x:c r="I11" s="26" t="n">
        <x:v>77769</x:v>
      </x:c>
      <x:c r="J11" s="26" t="n">
        <x:v>191319</x:v>
      </x:c>
      <x:c r="K11" s="26" t="n">
        <x:v>269088</x:v>
      </x:c>
      <x:c r="L11" s="26" t="n">
        <x:v>191319</x:v>
      </x:c>
      <x:c r="M11" s="23" t="str">
        <x:v>No</x:v>
      </x:c>
    </x:row>
    <x:row r="12">
      <x:c r="A12" s="29" t="n">
        <x:v>2</x:v>
      </x:c>
      <x:c r="B12" s="23" t="str">
        <x:v>2026PH9NYR</x:v>
      </x:c>
      <x:c r="C12" s="23" t="str">
        <x:v>SYnthetic molecular Machines and Pumps operaATIng in complex Environments (Sympatie)</x:v>
      </x:c>
      <x:c r="D12" s="23" t="str">
        <x:v>RU</x:v>
      </x:c>
      <x:c r="E12" s="23" t="str">
        <x:v>LAVORGNA Marino</x:v>
      </x:c>
      <x:c r="F12" s="23" t="str">
        <x:v>2026PH9NYR_003</x:v>
      </x:c>
      <x:c r="G12" s="23" t="str">
        <x:v>Consiglio Nazionale delle Ricerche</x:v>
      </x:c>
      <x:c r="H12" s="32" t="str">
        <x:v>80054330586</x:v>
      </x:c>
      <x:c r="I12" s="26" t="n">
        <x:v>58594</x:v>
      </x:c>
      <x:c r="J12" s="26" t="n">
        <x:v>194749</x:v>
      </x:c>
      <x:c r="K12" s="26" t="n">
        <x:v>253343</x:v>
      </x:c>
      <x:c r="L12" s="26" t="n">
        <x:v>194749</x:v>
      </x:c>
      <x:c r="M12" s="23" t="str">
        <x:v>No</x:v>
      </x:c>
    </x:row>
    <x:row r="13">
      <x:c r="A13" s="29" t="n">
        <x:v>2</x:v>
      </x:c>
      <x:c r="B13" s="23" t="str">
        <x:v>2026PH9NYR</x:v>
      </x:c>
      <x:c r="C13" s="23" t="str">
        <x:v>SYnthetic molecular Machines and Pumps operaATIng in complex Environments (Sympatie)</x:v>
      </x:c>
      <x:c r="D13" s="23" t="str">
        <x:v>RU</x:v>
      </x:c>
      <x:c r="E13" s="23" t="str">
        <x:v>PADUANO Luigi</x:v>
      </x:c>
      <x:c r="F13" s="23" t="str">
        <x:v>2026PH9NYR_004</x:v>
      </x:c>
      <x:c r="G13" s="23" t="str">
        <x:v>Università degli Studi di Napoli Federico II</x:v>
      </x:c>
      <x:c r="H13" s="32" t="str">
        <x:v>00876220633</x:v>
      </x:c>
      <x:c r="I13" s="26" t="n">
        <x:v>61161</x:v>
      </x:c>
      <x:c r="J13" s="26" t="n">
        <x:v>194803</x:v>
      </x:c>
      <x:c r="K13" s="26" t="n">
        <x:v>255964</x:v>
      </x:c>
      <x:c r="L13" s="26" t="n">
        <x:v>194803</x:v>
      </x:c>
      <x:c r="M13" s="23" t="str">
        <x:v>No</x:v>
      </x:c>
    </x:row>
    <x:row r="14">
      <x:c r="A14" s="29" t="n">
        <x:v>2</x:v>
      </x:c>
      <x:c r="B14" s="23" t="str">
        <x:v>2026PH9NYR</x:v>
      </x:c>
      <x:c r="C14" s="23" t="str">
        <x:v>SYnthetic molecular Machines and Pumps operaATIng in complex Environments (Sympatie)</x:v>
      </x:c>
      <x:c r="D14" s="23" t="str">
        <x:v>RU</x:v>
      </x:c>
      <x:c r="E14" s="23" t="str">
        <x:v>PAVAN Giovanni Maria</x:v>
      </x:c>
      <x:c r="F14" s="23" t="str">
        <x:v>2026PH9NYR_005</x:v>
      </x:c>
      <x:c r="G14" s="23" t="str">
        <x:v>Politecnico di TORINO</x:v>
      </x:c>
      <x:c r="H14" s="32" t="str">
        <x:v>00518460019</x:v>
      </x:c>
      <x:c r="I14" s="26" t="n">
        <x:v>57746</x:v>
      </x:c>
      <x:c r="J14" s="26" t="n">
        <x:v>194979</x:v>
      </x:c>
      <x:c r="K14" s="26" t="n">
        <x:v>252725</x:v>
      </x:c>
      <x:c r="L14" s="26" t="n">
        <x:v>194979</x:v>
      </x:c>
      <x:c r="M14" s="23" t="str">
        <x:v>No</x:v>
      </x:c>
    </x:row>
    <x:row r="15">
      <x:c r="A15" s="29" t="n">
        <x:v>3</x:v>
      </x:c>
      <x:c r="B15" s="23" t="str">
        <x:v>2026P39CXW</x:v>
      </x:c>
      <x:c r="C15" s="23" t="str">
        <x:v>NiXome — A structural-bioinorganic atlas of human metalloproteome vulnerability to environmental nickel</x:v>
      </x:c>
      <x:c r="D15" s="23" t="str">
        <x:v>PI</x:v>
      </x:c>
      <x:c r="E15" s="23" t="str">
        <x:v>CIURLI Stefano Luciano</x:v>
      </x:c>
      <x:c r="F15" s="23" t="str">
        <x:v>2026P39CXW_001</x:v>
      </x:c>
      <x:c r="G15" s="23" t="str">
        <x:v>Alma Mater Studiorum - Università di BOLOGNA</x:v>
      </x:c>
      <x:c r="H15" s="32" t="str">
        <x:v>80007010376</x:v>
      </x:c>
      <x:c r="I15" s="26" t="n">
        <x:v>119252</x:v>
      </x:c>
      <x:c r="J15" s="26" t="n">
        <x:v>313798</x:v>
      </x:c>
      <x:c r="K15" s="26" t="n">
        <x:v>433050</x:v>
      </x:c>
      <x:c r="L15" s="26" t="n">
        <x:v>313798</x:v>
      </x:c>
      <x:c r="M15" s="23" t="str">
        <x:v>No</x:v>
      </x:c>
    </x:row>
    <x:row r="16">
      <x:c r="A16" s="29" t="n">
        <x:v>3</x:v>
      </x:c>
      <x:c r="B16" s="23" t="str">
        <x:v>2026P39CXW</x:v>
      </x:c>
      <x:c r="C16" s="23" t="str">
        <x:v>NiXome — A structural-bioinorganic atlas of human metalloproteome vulnerability to environmental nickel</x:v>
      </x:c>
      <x:c r="D16" s="23" t="str">
        <x:v>RU</x:v>
      </x:c>
      <x:c r="E16" s="23" t="str">
        <x:v>ANDREINI Claudia</x:v>
      </x:c>
      <x:c r="F16" s="23" t="str">
        <x:v>2026P39CXW_002</x:v>
      </x:c>
      <x:c r="G16" s="23" t="str">
        <x:v>Università degli Studi di FIRENZE</x:v>
      </x:c>
      <x:c r="H16" s="32" t="str">
        <x:v>01279680480</x:v>
      </x:c>
      <x:c r="I16" s="26" t="n">
        <x:v>69165</x:v>
      </x:c>
      <x:c r="J16" s="26" t="n">
        <x:v>231462</x:v>
      </x:c>
      <x:c r="K16" s="26" t="n">
        <x:v>300627</x:v>
      </x:c>
      <x:c r="L16" s="26" t="n">
        <x:v>231462</x:v>
      </x:c>
      <x:c r="M16" s="23" t="str">
        <x:v>No</x:v>
      </x:c>
    </x:row>
    <x:row r="17">
      <x:c r="A17" s="29" t="n">
        <x:v>3</x:v>
      </x:c>
      <x:c r="B17" s="23" t="str">
        <x:v>2026P39CXW</x:v>
      </x:c>
      <x:c r="C17" s="23" t="str">
        <x:v>NiXome — A structural-bioinorganic atlas of human metalloproteome vulnerability to environmental nickel</x:v>
      </x:c>
      <x:c r="D17" s="23" t="str">
        <x:v>RU</x:v>
      </x:c>
      <x:c r="E17" s="23" t="str">
        <x:v>ARNESANO Fabio</x:v>
      </x:c>
      <x:c r="F17" s="23" t="str">
        <x:v>2026P39CXW_003</x:v>
      </x:c>
      <x:c r="G17" s="23" t="str">
        <x:v>Università degli Studi di BARI ALDO MORO</x:v>
      </x:c>
      <x:c r="H17" s="32" t="str">
        <x:v>80002170720</x:v>
      </x:c>
      <x:c r="I17" s="26" t="n">
        <x:v>70143</x:v>
      </x:c>
      <x:c r="J17" s="26" t="n">
        <x:v>228708</x:v>
      </x:c>
      <x:c r="K17" s="26" t="n">
        <x:v>298851</x:v>
      </x:c>
      <x:c r="L17" s="26" t="n">
        <x:v>228708</x:v>
      </x:c>
      <x:c r="M17" s="23" t="str">
        <x:v>No</x:v>
      </x:c>
    </x:row>
    <x:row r="18">
      <x:c r="A18" s="29" t="n">
        <x:v>3</x:v>
      </x:c>
      <x:c r="B18" s="23" t="str">
        <x:v>2026P39CXW</x:v>
      </x:c>
      <x:c r="C18" s="23" t="str">
        <x:v>NiXome — A structural-bioinorganic atlas of human metalloproteome vulnerability to environmental nickel</x:v>
      </x:c>
      <x:c r="D18" s="23" t="str">
        <x:v>RU</x:v>
      </x:c>
      <x:c r="E18" s="23" t="str">
        <x:v>RUSSO Luigi</x:v>
      </x:c>
      <x:c r="F18" s="23" t="str">
        <x:v>2026P39CXW_004</x:v>
      </x:c>
      <x:c r="G18" s="23" t="str">
        <x:v>Università degli Studi della Campania "Luigi Vanvitelli"</x:v>
      </x:c>
      <x:c r="H18" s="32" t="str">
        <x:v>02044190615</x:v>
      </x:c>
      <x:c r="I18" s="26" t="n">
        <x:v>46110</x:v>
      </x:c>
      <x:c r="J18" s="26" t="n">
        <x:v>226032</x:v>
      </x:c>
      <x:c r="K18" s="26" t="n">
        <x:v>272142</x:v>
      </x:c>
      <x:c r="L18" s="26" t="n">
        <x:v>226032</x:v>
      </x:c>
      <x:c r="M18" s="23" t="str">
        <x:v>No</x:v>
      </x:c>
    </x:row>
    <x:row r="19">
      <x:c r="A19" s="29" t="n">
        <x:v>4</x:v>
      </x:c>
      <x:c r="B19" s="23" t="str">
        <x:v>2026PZX45Y</x:v>
      </x:c>
      <x:c r="C19" s="23" t="str">
        <x:v>TWIST — ToWard chiral light from Inverted Singlet-Triplet emitters</x:v>
      </x:c>
      <x:c r="D19" s="23" t="str">
        <x:v>PI</x:v>
      </x:c>
      <x:c r="E19" s="23" t="str">
        <x:v>ZONTA Cristiano</x:v>
      </x:c>
      <x:c r="F19" s="23" t="str">
        <x:v>2026PZX45Y_001</x:v>
      </x:c>
      <x:c r="G19" s="23" t="str">
        <x:v>Università degli Studi di PADOVA</x:v>
      </x:c>
      <x:c r="H19" s="32" t="str">
        <x:v>80006480281</x:v>
      </x:c>
      <x:c r="I19" s="26" t="n">
        <x:v>66623</x:v>
      </x:c>
      <x:c r="J19" s="26" t="n">
        <x:v>173178</x:v>
      </x:c>
      <x:c r="K19" s="26" t="n">
        <x:v>239801</x:v>
      </x:c>
      <x:c r="L19" s="26" t="n">
        <x:v>173178</x:v>
      </x:c>
      <x:c r="M19" s="23" t="str">
        <x:v>No</x:v>
      </x:c>
    </x:row>
    <x:row r="20">
      <x:c r="A20" s="29" t="n">
        <x:v>4</x:v>
      </x:c>
      <x:c r="B20" s="23" t="str">
        <x:v>2026PZX45Y</x:v>
      </x:c>
      <x:c r="C20" s="23" t="str">
        <x:v>TWIST — ToWard chiral light from Inverted Singlet-Triplet emitters</x:v>
      </x:c>
      <x:c r="D20" s="23" t="str">
        <x:v>RU</x:v>
      </x:c>
      <x:c r="E20" s="23" t="str">
        <x:v>PADULA Daniele</x:v>
      </x:c>
      <x:c r="F20" s="23" t="str">
        <x:v>2026PZX45Y_002</x:v>
      </x:c>
      <x:c r="G20" s="23" t="str">
        <x:v>Università degli Studi di SIENA</x:v>
      </x:c>
      <x:c r="H20" s="32" t="str">
        <x:v>80002070524</x:v>
      </x:c>
      <x:c r="I20" s="26" t="n">
        <x:v>34582</x:v>
      </x:c>
      <x:c r="J20" s="26" t="n">
        <x:v>173090</x:v>
      </x:c>
      <x:c r="K20" s="26" t="n">
        <x:v>207672</x:v>
      </x:c>
      <x:c r="L20" s="26" t="n">
        <x:v>173090</x:v>
      </x:c>
      <x:c r="M20" s="23" t="str">
        <x:v>No</x:v>
      </x:c>
    </x:row>
    <x:row r="21">
      <x:c r="A21" s="29" t="n">
        <x:v>4</x:v>
      </x:c>
      <x:c r="B21" s="23" t="str">
        <x:v>2026PZX45Y</x:v>
      </x:c>
      <x:c r="C21" s="23" t="str">
        <x:v>TWIST — ToWard chiral light from Inverted Singlet-Triplet emitters</x:v>
      </x:c>
      <x:c r="D21" s="23" t="str">
        <x:v>RU</x:v>
      </x:c>
      <x:c r="E21" s="23" t="str">
        <x:v>FUSE' Marco</x:v>
      </x:c>
      <x:c r="F21" s="23" t="str">
        <x:v>2026PZX45Y_003</x:v>
      </x:c>
      <x:c r="G21" s="23" t="str">
        <x:v>Università degli Studi di BRESCIA</x:v>
      </x:c>
      <x:c r="H21" s="32" t="str">
        <x:v>98007650173</x:v>
      </x:c>
      <x:c r="I21" s="26" t="n">
        <x:v>34582</x:v>
      </x:c>
      <x:c r="J21" s="26" t="n">
        <x:v>173106</x:v>
      </x:c>
      <x:c r="K21" s="26" t="n">
        <x:v>207688</x:v>
      </x:c>
      <x:c r="L21" s="26" t="n">
        <x:v>173106</x:v>
      </x:c>
      <x:c r="M21" s="23" t="str">
        <x:v>No</x:v>
      </x:c>
    </x:row>
    <x:row r="22">
      <x:c r="A22" s="29" t="n">
        <x:v>4</x:v>
      </x:c>
      <x:c r="B22" s="23" t="str">
        <x:v>2026PZX45Y</x:v>
      </x:c>
      <x:c r="C22" s="23" t="str">
        <x:v>TWIST — ToWard chiral light from Inverted Singlet-Triplet emitters</x:v>
      </x:c>
      <x:c r="D22" s="23" t="str">
        <x:v>RU</x:v>
      </x:c>
      <x:c r="E22" s="23" t="str">
        <x:v>CACIALLI Franco</x:v>
      </x:c>
      <x:c r="F22" s="23" t="str">
        <x:v>2026PZX45Y_004</x:v>
      </x:c>
      <x:c r="G22" s="23" t="str">
        <x:v>Libera Università di BOLZANO</x:v>
      </x:c>
      <x:c r="H22" s="32" t="str">
        <x:v>94060760215</x:v>
      </x:c>
      <x:c r="I22" s="26" t="n">
        <x:v>8808</x:v>
      </x:c>
      <x:c r="J22" s="26" t="n">
        <x:v>173117</x:v>
      </x:c>
      <x:c r="K22" s="26" t="n">
        <x:v>181925</x:v>
      </x:c>
      <x:c r="L22" s="26" t="n">
        <x:v>173117</x:v>
      </x:c>
      <x:c r="M22" s="23" t="str">
        <x:v>No</x:v>
      </x:c>
    </x:row>
    <x:row r="23">
      <x:c r="A23" s="29" t="n">
        <x:v>4</x:v>
      </x:c>
      <x:c r="B23" s="23" t="str">
        <x:v>2026PZX45Y</x:v>
      </x:c>
      <x:c r="C23" s="23" t="str">
        <x:v>TWIST — ToWard chiral light from Inverted Singlet-Triplet emitters</x:v>
      </x:c>
      <x:c r="D23" s="23" t="str">
        <x:v>RU</x:v>
      </x:c>
      <x:c r="E23" s="23" t="str">
        <x:v>SUPERCHI Stefano</x:v>
      </x:c>
      <x:c r="F23" s="23" t="str">
        <x:v>2026PZX45Y_005</x:v>
      </x:c>
      <x:c r="G23" s="23" t="str">
        <x:v>Università degli Studi della BASILICATA</x:v>
      </x:c>
      <x:c r="H23" s="32" t="str">
        <x:v>96003410766</x:v>
      </x:c>
      <x:c r="I23" s="26" t="n">
        <x:v>23055</x:v>
      </x:c>
      <x:c r="J23" s="26" t="n">
        <x:v>172778</x:v>
      </x:c>
      <x:c r="K23" s="26" t="n">
        <x:v>195833</x:v>
      </x:c>
      <x:c r="L23" s="26" t="n">
        <x:v>172778</x:v>
      </x:c>
      <x:c r="M23" s="23" t="str">
        <x:v>No</x:v>
      </x:c>
    </x:row>
    <x:row r="24">
      <x:c r="A24" s="29" t="n">
        <x:v>4</x:v>
      </x:c>
      <x:c r="B24" s="23" t="str">
        <x:v>2026PZX45Y</x:v>
      </x:c>
      <x:c r="C24" s="23" t="str">
        <x:v>TWIST — ToWard chiral light from Inverted Singlet-Triplet emitters</x:v>
      </x:c>
      <x:c r="D24" s="23" t="str">
        <x:v>RU</x:v>
      </x:c>
      <x:c r="E24" s="23" t="str">
        <x:v>CARDANO Francesca</x:v>
      </x:c>
      <x:c r="F24" s="23" t="str">
        <x:v>2026PZX45Y_006</x:v>
      </x:c>
      <x:c r="G24" s="23" t="str">
        <x:v>Università degli Studi di TORINO</x:v>
      </x:c>
      <x:c r="H24" s="32" t="str">
        <x:v>80088230018</x:v>
      </x:c>
      <x:c r="I24" s="26" t="n">
        <x:v>56767</x:v>
      </x:c>
      <x:c r="J24" s="26" t="n">
        <x:v>173065</x:v>
      </x:c>
      <x:c r="K24" s="26" t="n">
        <x:v>229832</x:v>
      </x:c>
      <x:c r="L24" s="26" t="n">
        <x:v>173065</x:v>
      </x:c>
      <x:c r="M24" s="23" t="str">
        <x:v>No</x:v>
      </x:c>
    </x:row>
    <x:row r="25">
      <x:c r="A25" s="29" t="n">
        <x:v>5</x:v>
      </x:c>
      <x:c r="B25" s="23" t="str">
        <x:v>2026PPBFKX</x:v>
      </x:c>
      <x:c r="C25" s="23" t="str">
        <x:v>SPIRAL: Chirality-Driven SPIN Control of Photocatalytic Water Splitting</x:v>
      </x:c>
      <x:c r="D25" s="23" t="str">
        <x:v>PI</x:v>
      </x:c>
      <x:c r="E25" s="23" t="str">
        <x:v>VALLI Ludovico</x:v>
      </x:c>
      <x:c r="F25" s="23" t="str">
        <x:v>2026PPBFKX_001</x:v>
      </x:c>
      <x:c r="G25" s="23" t="str">
        <x:v>Università del SALENTO</x:v>
      </x:c>
      <x:c r="H25" s="32" t="str">
        <x:v>80008870752</x:v>
      </x:c>
      <x:c r="I25" s="26" t="n">
        <x:v>106634</x:v>
      </x:c>
      <x:c r="J25" s="26" t="n">
        <x:v>188754</x:v>
      </x:c>
      <x:c r="K25" s="26" t="n">
        <x:v>295388</x:v>
      </x:c>
      <x:c r="L25" s="26" t="n">
        <x:v>188754</x:v>
      </x:c>
      <x:c r="M25" s="23" t="str">
        <x:v>No</x:v>
      </x:c>
    </x:row>
    <x:row r="26">
      <x:c r="A26" s="29" t="n">
        <x:v>5</x:v>
      </x:c>
      <x:c r="B26" s="23" t="str">
        <x:v>2026PPBFKX</x:v>
      </x:c>
      <x:c r="C26" s="23" t="str">
        <x:v>SPIRAL: Chirality-Driven SPIN Control of Photocatalytic Water Splitting</x:v>
      </x:c>
      <x:c r="D26" s="23" t="str">
        <x:v>RU</x:v>
      </x:c>
      <x:c r="E26" s="23" t="str">
        <x:v>PIETROPAOLO Adriana</x:v>
      </x:c>
      <x:c r="F26" s="23" t="str">
        <x:v>2026PPBFKX_002</x:v>
      </x:c>
      <x:c r="G26" s="23" t="str">
        <x:v>Università degli Studi "Magna Graecia" di CATANZARO</x:v>
      </x:c>
      <x:c r="H26" s="32" t="str">
        <x:v>97026980793</x:v>
      </x:c>
      <x:c r="I26" s="26" t="n">
        <x:v>37518</x:v>
      </x:c>
      <x:c r="J26" s="26" t="n">
        <x:v>152083</x:v>
      </x:c>
      <x:c r="K26" s="26" t="n">
        <x:v>189601</x:v>
      </x:c>
      <x:c r="L26" s="26" t="n">
        <x:v>152083</x:v>
      </x:c>
      <x:c r="M26" s="23" t="str">
        <x:v>No</x:v>
      </x:c>
    </x:row>
    <x:row r="27">
      <x:c r="A27" s="29" t="n">
        <x:v>5</x:v>
      </x:c>
      <x:c r="B27" s="23" t="str">
        <x:v>2026PPBFKX</x:v>
      </x:c>
      <x:c r="C27" s="23" t="str">
        <x:v>SPIRAL: Chirality-Driven SPIN Control of Photocatalytic Water Splitting</x:v>
      </x:c>
      <x:c r="D27" s="23" t="str">
        <x:v>RU</x:v>
      </x:c>
      <x:c r="E27" s="23" t="str">
        <x:v>MANNINI Matteo</x:v>
      </x:c>
      <x:c r="F27" s="23" t="str">
        <x:v>2026PPBFKX_003</x:v>
      </x:c>
      <x:c r="G27" s="23" t="str">
        <x:v>Università degli Studi di FIRENZE</x:v>
      </x:c>
      <x:c r="H27" s="32" t="str">
        <x:v>01279680480</x:v>
      </x:c>
      <x:c r="I27" s="26" t="n">
        <x:v>55571</x:v>
      </x:c>
      <x:c r="J27" s="26" t="n">
        <x:v>168836</x:v>
      </x:c>
      <x:c r="K27" s="26" t="n">
        <x:v>224407</x:v>
      </x:c>
      <x:c r="L27" s="26" t="n">
        <x:v>168836</x:v>
      </x:c>
      <x:c r="M27" s="23" t="str">
        <x:v>No</x:v>
      </x:c>
    </x:row>
    <x:row r="28">
      <x:c r="A28" s="29" t="n">
        <x:v>5</x:v>
      </x:c>
      <x:c r="B28" s="23" t="str">
        <x:v>2026PPBFKX</x:v>
      </x:c>
      <x:c r="C28" s="23" t="str">
        <x:v>SPIRAL: Chirality-Driven SPIN Control of Photocatalytic Water Splitting</x:v>
      </x:c>
      <x:c r="D28" s="23" t="str">
        <x:v>RU</x:v>
      </x:c>
      <x:c r="E28" s="23" t="str">
        <x:v>CORNIA Andrea</x:v>
      </x:c>
      <x:c r="F28" s="23" t="str">
        <x:v>2026PPBFKX_004</x:v>
      </x:c>
      <x:c r="G28" s="23" t="str">
        <x:v>Università degli Studi di MODENA e REGGIO EMILIA</x:v>
      </x:c>
      <x:c r="H28" s="32" t="str">
        <x:v>00427620364</x:v>
      </x:c>
      <x:c r="I28" s="26" t="n">
        <x:v>64053</x:v>
      </x:c>
      <x:c r="J28" s="26" t="n">
        <x:v>181823</x:v>
      </x:c>
      <x:c r="K28" s="26" t="n">
        <x:v>245876</x:v>
      </x:c>
      <x:c r="L28" s="26" t="n">
        <x:v>181823</x:v>
      </x:c>
      <x:c r="M28" s="23" t="str">
        <x:v>No</x:v>
      </x:c>
    </x:row>
    <x:row r="29">
      <x:c r="A29" s="29" t="n">
        <x:v>5</x:v>
      </x:c>
      <x:c r="B29" s="23" t="str">
        <x:v>2026PPBFKX</x:v>
      </x:c>
      <x:c r="C29" s="23" t="str">
        <x:v>SPIRAL: Chirality-Driven SPIN Control of Photocatalytic Water Splitting</x:v>
      </x:c>
      <x:c r="D29" s="23" t="str">
        <x:v>RU</x:v>
      </x:c>
      <x:c r="E29" s="23" t="str">
        <x:v>DI VALENTIN Marilena</x:v>
      </x:c>
      <x:c r="F29" s="23" t="str">
        <x:v>2026PPBFKX_005</x:v>
      </x:c>
      <x:c r="G29" s="23" t="str">
        <x:v>Università degli Studi di PADOVA</x:v>
      </x:c>
      <x:c r="H29" s="32" t="str">
        <x:v>80006480281</x:v>
      </x:c>
      <x:c r="I29" s="26" t="n">
        <x:v>89849</x:v>
      </x:c>
      <x:c r="J29" s="26" t="n">
        <x:v>190986</x:v>
      </x:c>
      <x:c r="K29" s="26" t="n">
        <x:v>280835</x:v>
      </x:c>
      <x:c r="L29" s="26" t="n">
        <x:v>190986</x:v>
      </x:c>
      <x:c r="M29" s="23" t="str">
        <x:v>No</x:v>
      </x:c>
    </x:row>
    <x:row r="30">
      <x:c r="A30" s="29" t="n">
        <x:v>5</x:v>
      </x:c>
      <x:c r="B30" s="23" t="str">
        <x:v>2026PPBFKX</x:v>
      </x:c>
      <x:c r="C30" s="23" t="str">
        <x:v>SPIRAL: Chirality-Driven SPIN Control of Photocatalytic Water Splitting</x:v>
      </x:c>
      <x:c r="D30" s="23" t="str">
        <x:v>RU</x:v>
      </x:c>
      <x:c r="E30" s="23" t="str">
        <x:v>CARLOTTI Benedetta</x:v>
      </x:c>
      <x:c r="F30" s="23" t="str">
        <x:v>2026PPBFKX_006</x:v>
      </x:c>
      <x:c r="G30" s="23" t="str">
        <x:v>Università degli Studi di PERUGIA</x:v>
      </x:c>
      <x:c r="H30" s="32" t="str">
        <x:v>00448820548</x:v>
      </x:c>
      <x:c r="I30" s="26" t="n">
        <x:v>63401</x:v>
      </x:c>
      <x:c r="J30" s="26" t="n">
        <x:v>155849</x:v>
      </x:c>
      <x:c r="K30" s="26" t="n">
        <x:v>219250</x:v>
      </x:c>
      <x:c r="L30" s="26" t="n">
        <x:v>155849</x:v>
      </x:c>
      <x:c r="M30" s="23" t="str">
        <x:v>No</x:v>
      </x:c>
    </x:row>
    <x:row r="31">
      <x:c r="A31" s="29" t="n">
        <x:v>6</x:v>
      </x:c>
      <x:c r="B31" s="23" t="str">
        <x:v>2026PC3LM3</x:v>
      </x:c>
      <x:c r="C31" s="23" t="str">
        <x:v>Spatially Programmed 3D Adsorbents for Carbon dioxidE capture under competitive water conditions (3D-SPACE)</x:v>
      </x:c>
      <x:c r="D31" s="23" t="str">
        <x:v>PI</x:v>
      </x:c>
      <x:c r="E31" s="23" t="str">
        <x:v>CROCELLA' Valentina</x:v>
      </x:c>
      <x:c r="F31" s="23" t="str">
        <x:v>2026PC3LM3_001</x:v>
      </x:c>
      <x:c r="G31" s="23" t="str">
        <x:v>Università degli Studi di TORINO</x:v>
      </x:c>
      <x:c r="H31" s="32" t="str">
        <x:v>80088230018</x:v>
      </x:c>
      <x:c r="I31" s="26" t="n">
        <x:v>72539</x:v>
      </x:c>
      <x:c r="J31" s="26" t="n">
        <x:v>215608</x:v>
      </x:c>
      <x:c r="K31" s="26" t="n">
        <x:v>288147</x:v>
      </x:c>
      <x:c r="L31" s="26" t="n">
        <x:v>215608</x:v>
      </x:c>
      <x:c r="M31" s="23" t="str">
        <x:v>No</x:v>
      </x:c>
    </x:row>
    <x:row r="32">
      <x:c r="A32" s="29" t="n">
        <x:v>6</x:v>
      </x:c>
      <x:c r="B32" s="23" t="str">
        <x:v>2026PC3LM3</x:v>
      </x:c>
      <x:c r="C32" s="23" t="str">
        <x:v>Spatially Programmed 3D Adsorbents for Carbon dioxidE capture under competitive water conditions (3D-SPACE)</x:v>
      </x:c>
      <x:c r="D32" s="23" t="str">
        <x:v>RU</x:v>
      </x:c>
      <x:c r="E32" s="23" t="str">
        <x:v>COLOMBO Paolo</x:v>
      </x:c>
      <x:c r="F32" s="23" t="str">
        <x:v>2026PC3LM3_002</x:v>
      </x:c>
      <x:c r="G32" s="23" t="str">
        <x:v>Università degli Studi di PADOVA</x:v>
      </x:c>
      <x:c r="H32" s="32" t="str">
        <x:v>80006480281</x:v>
      </x:c>
      <x:c r="I32" s="26" t="n">
        <x:v>52852</x:v>
      </x:c>
      <x:c r="J32" s="26" t="n">
        <x:v>172504</x:v>
      </x:c>
      <x:c r="K32" s="26" t="n">
        <x:v>225356</x:v>
      </x:c>
      <x:c r="L32" s="26" t="n">
        <x:v>172504</x:v>
      </x:c>
      <x:c r="M32" s="23" t="str">
        <x:v>No</x:v>
      </x:c>
    </x:row>
    <x:row r="33">
      <x:c r="A33" s="29" t="n">
        <x:v>6</x:v>
      </x:c>
      <x:c r="B33" s="23" t="str">
        <x:v>2026PC3LM3</x:v>
      </x:c>
      <x:c r="C33" s="23" t="str">
        <x:v>Spatially Programmed 3D Adsorbents for Carbon dioxidE capture under competitive water conditions (3D-SPACE)</x:v>
      </x:c>
      <x:c r="D33" s="23" t="str">
        <x:v>RU</x:v>
      </x:c>
      <x:c r="E33" s="23" t="str">
        <x:v>COLOMBO Valentina</x:v>
      </x:c>
      <x:c r="F33" s="23" t="str">
        <x:v>2026PC3LM3_003</x:v>
      </x:c>
      <x:c r="G33" s="23" t="str">
        <x:v>Università degli Studi di MILANO</x:v>
      </x:c>
      <x:c r="H33" s="32" t="str">
        <x:v>80012650158</x:v>
      </x:c>
      <x:c r="I33" s="26" t="n">
        <x:v>34582</x:v>
      </x:c>
      <x:c r="J33" s="26" t="n">
        <x:v>164063</x:v>
      </x:c>
      <x:c r="K33" s="26" t="n">
        <x:v>198645</x:v>
      </x:c>
      <x:c r="L33" s="26" t="n">
        <x:v>164063</x:v>
      </x:c>
      <x:c r="M33" s="23" t="str">
        <x:v>No</x:v>
      </x:c>
    </x:row>
    <x:row r="34">
      <x:c r="A34" s="29" t="n">
        <x:v>6</x:v>
      </x:c>
      <x:c r="B34" s="23" t="str">
        <x:v>2026PC3LM3</x:v>
      </x:c>
      <x:c r="C34" s="23" t="str">
        <x:v>Spatially Programmed 3D Adsorbents for Carbon dioxidE capture under competitive water conditions (3D-SPACE)</x:v>
      </x:c>
      <x:c r="D34" s="23" t="str">
        <x:v>RU</x:v>
      </x:c>
      <x:c r="E34" s="23" t="str">
        <x:v>COMOTTI Angiolina</x:v>
      </x:c>
      <x:c r="F34" s="23" t="str">
        <x:v>2026PC3LM3_004</x:v>
      </x:c>
      <x:c r="G34" s="23" t="str">
        <x:v>Università degli Studi di MILANO-BICOCCA</x:v>
      </x:c>
      <x:c r="H34" s="32" t="str">
        <x:v>12621570154</x:v>
      </x:c>
      <x:c r="I34" s="26" t="n">
        <x:v>52852</x:v>
      </x:c>
      <x:c r="J34" s="26" t="n">
        <x:v>172516</x:v>
      </x:c>
      <x:c r="K34" s="26" t="n">
        <x:v>225368</x:v>
      </x:c>
      <x:c r="L34" s="26" t="n">
        <x:v>172516</x:v>
      </x:c>
      <x:c r="M34" s="23" t="str">
        <x:v>No</x:v>
      </x:c>
    </x:row>
    <x:row r="35">
      <x:c r="A35" s="29" t="n">
        <x:v>6</x:v>
      </x:c>
      <x:c r="B35" s="23" t="str">
        <x:v>2026PC3LM3</x:v>
      </x:c>
      <x:c r="C35" s="23" t="str">
        <x:v>Spatially Programmed 3D Adsorbents for Carbon dioxidE capture under competitive water conditions (3D-SPACE)</x:v>
      </x:c>
      <x:c r="D35" s="23" t="str">
        <x:v>RU</x:v>
      </x:c>
      <x:c r="E35" s="23" t="str">
        <x:v>COSTANTINO Ferdinando</x:v>
      </x:c>
      <x:c r="F35" s="23" t="str">
        <x:v>2026PC3LM3_005</x:v>
      </x:c>
      <x:c r="G35" s="23" t="str">
        <x:v>Università degli Studi di PERUGIA</x:v>
      </x:c>
      <x:c r="H35" s="32" t="str">
        <x:v>00448820548</x:v>
      </x:c>
      <x:c r="I35" s="26" t="n">
        <x:v>28818</x:v>
      </x:c>
      <x:c r="J35" s="26" t="n">
        <x:v>165810</x:v>
      </x:c>
      <x:c r="K35" s="26" t="n">
        <x:v>194628</x:v>
      </x:c>
      <x:c r="L35" s="26" t="n">
        <x:v>165810</x:v>
      </x:c>
      <x:c r="M35" s="23" t="str">
        <x:v>No</x:v>
      </x:c>
    </x:row>
    <x:row r="36">
      <x:c r="A36" s="29" t="n">
        <x:v>6</x:v>
      </x:c>
      <x:c r="B36" s="23" t="str">
        <x:v>2026PC3LM3</x:v>
      </x:c>
      <x:c r="C36" s="23" t="str">
        <x:v>Spatially Programmed 3D Adsorbents for Carbon dioxidE capture under competitive water conditions (3D-SPACE)</x:v>
      </x:c>
      <x:c r="D36" s="23" t="str">
        <x:v>RU</x:v>
      </x:c>
      <x:c r="E36" s="23" t="str">
        <x:v>CALUCCI Lucia</x:v>
      </x:c>
      <x:c r="F36" s="23" t="str">
        <x:v>2026PC3LM3_006</x:v>
      </x:c>
      <x:c r="G36" s="23" t="str">
        <x:v>Consiglio Nazionale delle Ricerche</x:v>
      </x:c>
      <x:c r="H36" s="32" t="str">
        <x:v>80054330586</x:v>
      </x:c>
      <x:c r="I36" s="26" t="n">
        <x:v>48355</x:v>
      </x:c>
      <x:c r="J36" s="26" t="n">
        <x:v>145900</x:v>
      </x:c>
      <x:c r="K36" s="26" t="n">
        <x:v>194255</x:v>
      </x:c>
      <x:c r="L36" s="26" t="n">
        <x:v>145900</x:v>
      </x:c>
      <x:c r="M36" s="23" t="str">
        <x:v>No</x:v>
      </x:c>
    </x:row>
    <x:row r="37">
      <x:c r="A37" s="29" t="n">
        <x:v>7</x:v>
      </x:c>
      <x:c r="B37" s="23" t="str">
        <x:v>2026P2CL48</x:v>
      </x:c>
      <x:c r="C37" s="23" t="str">
        <x:v>FLUOride TRAPping through bridged dimeric metal complexes: A platform for possible in kit 18F-labelling and Theranostic applications (FLUOTRAP)</x:v>
      </x:c>
      <x:c r="D37" s="23" t="str">
        <x:v>PI</x:v>
      </x:c>
      <x:c r="E37" s="23" t="str">
        <x:v>TEI Lorenzo</x:v>
      </x:c>
      <x:c r="F37" s="23" t="str">
        <x:v>2026P2CL48_001</x:v>
      </x:c>
      <x:c r="G37" s="23" t="str">
        <x:v>Università degli Studi del PIEMONTE ORIENTALE</x:v>
      </x:c>
      <x:c r="H37" s="32" t="str">
        <x:v>94021400026</x:v>
      </x:c>
      <x:c r="I37" s="26" t="n">
        <x:v>79281</x:v>
      </x:c>
      <x:c r="J37" s="26" t="n">
        <x:v>294371</x:v>
      </x:c>
      <x:c r="K37" s="26" t="n">
        <x:v>373652</x:v>
      </x:c>
      <x:c r="L37" s="26" t="n">
        <x:v>294371</x:v>
      </x:c>
      <x:c r="M37" s="23" t="str">
        <x:v>No</x:v>
      </x:c>
    </x:row>
    <x:row r="38">
      <x:c r="A38" s="29" t="n">
        <x:v>7</x:v>
      </x:c>
      <x:c r="B38" s="23" t="str">
        <x:v>2026P2CL48</x:v>
      </x:c>
      <x:c r="C38" s="23" t="str">
        <x:v>FLUOride TRAPping through bridged dimeric metal complexes: A platform for possible in kit 18F-labelling and Theranostic applications (FLUOTRAP)</x:v>
      </x:c>
      <x:c r="D38" s="23" t="str">
        <x:v>RU</x:v>
      </x:c>
      <x:c r="E38" s="23" t="str">
        <x:v>FERRARI Erika</x:v>
      </x:c>
      <x:c r="F38" s="23" t="str">
        <x:v>2026P2CL48_002</x:v>
      </x:c>
      <x:c r="G38" s="23" t="str">
        <x:v>Università degli Studi di MODENA e REGGIO EMILIA</x:v>
      </x:c>
      <x:c r="H38" s="32" t="str">
        <x:v>00427620364</x:v>
      </x:c>
      <x:c r="I38" s="26" t="n">
        <x:v>51873</x:v>
      </x:c>
      <x:c r="J38" s="26" t="n">
        <x:v>192997</x:v>
      </x:c>
      <x:c r="K38" s="26" t="n">
        <x:v>244870</x:v>
      </x:c>
      <x:c r="L38" s="26" t="n">
        <x:v>192997</x:v>
      </x:c>
      <x:c r="M38" s="23" t="str">
        <x:v>No</x:v>
      </x:c>
    </x:row>
    <x:row r="39">
      <x:c r="A39" s="29" t="n">
        <x:v>7</x:v>
      </x:c>
      <x:c r="B39" s="23" t="str">
        <x:v>2026P2CL48</x:v>
      </x:c>
      <x:c r="C39" s="23" t="str">
        <x:v>FLUOride TRAPping through bridged dimeric metal complexes: A platform for possible in kit 18F-labelling and Theranostic applications (FLUOTRAP)</x:v>
      </x:c>
      <x:c r="D39" s="23" t="str">
        <x:v>RU</x:v>
      </x:c>
      <x:c r="E39" s="23" t="str">
        <x:v>DI MARCO Valerio</x:v>
      </x:c>
      <x:c r="F39" s="23" t="str">
        <x:v>2026P2CL48_003</x:v>
      </x:c>
      <x:c r="G39" s="23" t="str">
        <x:v>Università degli Studi di PADOVA</x:v>
      </x:c>
      <x:c r="H39" s="32" t="str">
        <x:v>80006480281</x:v>
      </x:c>
      <x:c r="I39" s="26" t="n">
        <x:v>40346</x:v>
      </x:c>
      <x:c r="J39" s="26" t="n">
        <x:v>175880</x:v>
      </x:c>
      <x:c r="K39" s="26" t="n">
        <x:v>216226</x:v>
      </x:c>
      <x:c r="L39" s="26" t="n">
        <x:v>175880</x:v>
      </x:c>
      <x:c r="M39" s="23" t="str">
        <x:v>No</x:v>
      </x:c>
    </x:row>
    <x:row r="40">
      <x:c r="A40" s="29" t="n">
        <x:v>7</x:v>
      </x:c>
      <x:c r="B40" s="23" t="str">
        <x:v>2026P2CL48</x:v>
      </x:c>
      <x:c r="C40" s="23" t="str">
        <x:v>FLUOride TRAPping through bridged dimeric metal complexes: A platform for possible in kit 18F-labelling and Theranostic applications (FLUOTRAP)</x:v>
      </x:c>
      <x:c r="D40" s="23" t="str">
        <x:v>RU</x:v>
      </x:c>
      <x:c r="E40" s="23" t="str">
        <x:v>BONSIGNORE Riccardo</x:v>
      </x:c>
      <x:c r="F40" s="23" t="str">
        <x:v>2026P2CL48_004</x:v>
      </x:c>
      <x:c r="G40" s="23" t="str">
        <x:v>Università degli Studi di PALERMO</x:v>
      </x:c>
      <x:c r="H40" s="32" t="str">
        <x:v>80023730825</x:v>
      </x:c>
      <x:c r="I40" s="26" t="n">
        <x:v>23055</x:v>
      </x:c>
      <x:c r="J40" s="26" t="n">
        <x:v>173650</x:v>
      </x:c>
      <x:c r="K40" s="26" t="n">
        <x:v>196705</x:v>
      </x:c>
      <x:c r="L40" s="26" t="n">
        <x:v>173650</x:v>
      </x:c>
      <x:c r="M40" s="23" t="str">
        <x:v>No</x:v>
      </x:c>
    </x:row>
    <x:row r="41">
      <x:c r="A41" s="29" t="n">
        <x:v>7</x:v>
      </x:c>
      <x:c r="B41" s="23" t="str">
        <x:v>2026P2CL48</x:v>
      </x:c>
      <x:c r="C41" s="23" t="str">
        <x:v>FLUOride TRAPping through bridged dimeric metal complexes: A platform for possible in kit 18F-labelling and Theranostic applications (FLUOTRAP)</x:v>
      </x:c>
      <x:c r="D41" s="23" t="str">
        <x:v>RU</x:v>
      </x:c>
      <x:c r="E41" s="23" t="str">
        <x:v>MARCHIO' Luciano</x:v>
      </x:c>
      <x:c r="F41" s="23" t="str">
        <x:v>2026P2CL48_005</x:v>
      </x:c>
      <x:c r="G41" s="23" t="str">
        <x:v>Università degli Studi di PARMA</x:v>
      </x:c>
      <x:c r="H41" s="32" t="str">
        <x:v>00308780345</x:v>
      </x:c>
      <x:c r="I41" s="26" t="n">
        <x:v>44043</x:v>
      </x:c>
      <x:c r="J41" s="26" t="n">
        <x:v>176221</x:v>
      </x:c>
      <x:c r="K41" s="26" t="n">
        <x:v>220264</x:v>
      </x:c>
      <x:c r="L41" s="26" t="n">
        <x:v>176221</x:v>
      </x:c>
      <x:c r="M41" s="23" t="str">
        <x:v>No</x:v>
      </x:c>
    </x:row>
    <x:row r="42">
      <x:c r="A42" s="34" t="n">
        <x:v>8</x:v>
      </x:c>
      <x:c r="B42" s="35" t="str">
        <x:v>2026PKEPBB</x:v>
      </x:c>
      <x:c r="C42" s="35" t="str">
        <x:v>Cross-coupling strategies for the sustainable synthesis of biologically active compounds - XSus</x:v>
      </x:c>
      <x:c r="D42" s="35" t="str">
        <x:v>PI</x:v>
      </x:c>
      <x:c r="E42" s="35" t="str">
        <x:v>ORLANDI Manuel</x:v>
      </x:c>
      <x:c r="F42" s="35" t="str">
        <x:v>2026PKEPBB_001</x:v>
      </x:c>
      <x:c r="G42" s="35" t="str">
        <x:v>Università degli Studi di PADOVA</x:v>
      </x:c>
      <x:c r="H42" s="36" t="str">
        <x:v>80006480281</x:v>
      </x:c>
      <x:c r="I42" s="37" t="n">
        <x:v>51876</x:v>
      </x:c>
      <x:c r="J42" s="37" t="n">
        <x:v>198546</x:v>
      </x:c>
      <x:c r="K42" s="37" t="n">
        <x:v>250422</x:v>
      </x:c>
      <x:c r="L42" s="37" t="n">
        <x:v>198546</x:v>
      </x:c>
      <x:c r="M42" s="35" t="str">
        <x:v>Sì</x:v>
      </x:c>
    </x:row>
    <x:row r="43">
      <x:c r="A43" s="34" t="n">
        <x:v>8</x:v>
      </x:c>
      <x:c r="B43" s="35" t="str">
        <x:v>2026PKEPBB</x:v>
      </x:c>
      <x:c r="C43" s="35" t="str">
        <x:v>Cross-coupling strategies for the sustainable synthesis of biologically active compounds - XSus</x:v>
      </x:c>
      <x:c r="D43" s="35" t="str">
        <x:v>RU</x:v>
      </x:c>
      <x:c r="E43" s="35" t="str">
        <x:v>PUGLISI Alessandra</x:v>
      </x:c>
      <x:c r="F43" s="35" t="str">
        <x:v>2026PKEPBB_002</x:v>
      </x:c>
      <x:c r="G43" s="35" t="str">
        <x:v>Università degli Studi di MILANO</x:v>
      </x:c>
      <x:c r="H43" s="36" t="str">
        <x:v>80012650158</x:v>
      </x:c>
      <x:c r="I43" s="37" t="n">
        <x:v>48415</x:v>
      </x:c>
      <x:c r="J43" s="37" t="n">
        <x:v>166025</x:v>
      </x:c>
      <x:c r="K43" s="37" t="n">
        <x:v>214440</x:v>
      </x:c>
      <x:c r="L43" s="37" t="n">
        <x:v>166025</x:v>
      </x:c>
      <x:c r="M43" s="35" t="str">
        <x:v>Sì</x:v>
      </x:c>
    </x:row>
    <x:row r="44">
      <x:c r="A44" s="34" t="n">
        <x:v>8</x:v>
      </x:c>
      <x:c r="B44" s="35" t="str">
        <x:v>2026PKEPBB</x:v>
      </x:c>
      <x:c r="C44" s="35" t="str">
        <x:v>Cross-coupling strategies for the sustainable synthesis of biologically active compounds - XSus</x:v>
      </x:c>
      <x:c r="D44" s="35" t="str">
        <x:v>RU</x:v>
      </x:c>
      <x:c r="E44" s="35" t="str">
        <x:v>SARLAH David</x:v>
      </x:c>
      <x:c r="F44" s="35" t="str">
        <x:v>2026PKEPBB_003</x:v>
      </x:c>
      <x:c r="G44" s="35" t="str">
        <x:v>Università degli Studi di PAVIA</x:v>
      </x:c>
      <x:c r="H44" s="36" t="str">
        <x:v>80007270186</x:v>
      </x:c>
      <x:c r="I44" s="37" t="n">
        <x:v>40346</x:v>
      </x:c>
      <x:c r="J44" s="37" t="n">
        <x:v>165961</x:v>
      </x:c>
      <x:c r="K44" s="37" t="n">
        <x:v>206307</x:v>
      </x:c>
      <x:c r="L44" s="37" t="n">
        <x:v>165961</x:v>
      </x:c>
      <x:c r="M44" s="35" t="str">
        <x:v>Sì</x:v>
      </x:c>
    </x:row>
    <x:row r="45">
      <x:c r="A45" s="34" t="n">
        <x:v>8</x:v>
      </x:c>
      <x:c r="B45" s="35" t="str">
        <x:v>2026PKEPBB</x:v>
      </x:c>
      <x:c r="C45" s="35" t="str">
        <x:v>Cross-coupling strategies for the sustainable synthesis of biologically active compounds - XSus</x:v>
      </x:c>
      <x:c r="D45" s="35" t="str">
        <x:v>RU</x:v>
      </x:c>
      <x:c r="E45" s="35" t="str">
        <x:v>CICCO Luciana</x:v>
      </x:c>
      <x:c r="F45" s="35" t="str">
        <x:v>2026PKEPBB_004</x:v>
      </x:c>
      <x:c r="G45" s="35" t="str">
        <x:v>Università degli Studi di BARI ALDO MORO</x:v>
      </x:c>
      <x:c r="H45" s="36" t="str">
        <x:v>80002170720</x:v>
      </x:c>
      <x:c r="I45" s="37" t="n">
        <x:v>74385</x:v>
      </x:c>
      <x:c r="J45" s="37" t="n">
        <x:v>164565</x:v>
      </x:c>
      <x:c r="K45" s="37" t="n">
        <x:v>238950</x:v>
      </x:c>
      <x:c r="L45" s="37" t="n">
        <x:v>164565</x:v>
      </x:c>
      <x:c r="M45" s="35" t="str">
        <x:v>Sì</x:v>
      </x:c>
    </x:row>
    <x:row r="46">
      <x:c r="A46" s="34" t="n">
        <x:v>8</x:v>
      </x:c>
      <x:c r="B46" s="35" t="str">
        <x:v>2026PKEPBB</x:v>
      </x:c>
      <x:c r="C46" s="35" t="str">
        <x:v>Cross-coupling strategies for the sustainable synthesis of biologically active compounds - XSus</x:v>
      </x:c>
      <x:c r="D46" s="35" t="str">
        <x:v>RU</x:v>
      </x:c>
      <x:c r="E46" s="35" t="str">
        <x:v>LAMBRUSCHINI Chiara</x:v>
      </x:c>
      <x:c r="F46" s="35" t="str">
        <x:v>2026PKEPBB_005</x:v>
      </x:c>
      <x:c r="G46" s="35" t="str">
        <x:v>Università degli Studi di GENOVA</x:v>
      </x:c>
      <x:c r="H46" s="36" t="str">
        <x:v>00754150100</x:v>
      </x:c>
      <x:c r="I46" s="37" t="n">
        <x:v>40672</x:v>
      </x:c>
      <x:c r="J46" s="37" t="n">
        <x:v>166021</x:v>
      </x:c>
      <x:c r="K46" s="37" t="n">
        <x:v>206693</x:v>
      </x:c>
      <x:c r="L46" s="37" t="n">
        <x:v>166021</x:v>
      </x:c>
      <x:c r="M46" s="35" t="str">
        <x:v>Sì</x:v>
      </x:c>
    </x:row>
    <x:row r="47">
      <x:c r="A47" s="38" t="n">
        <x:v>8</x:v>
      </x:c>
      <x:c r="B47" s="39" t="str">
        <x:v>2026PKEPBB</x:v>
      </x:c>
      <x:c r="C47" s="39" t="str">
        <x:v>Cross-coupling strategies for the sustainable synthesis of biologically active compounds - XSus</x:v>
      </x:c>
      <x:c r="D47" s="39" t="str">
        <x:v>RU</x:v>
      </x:c>
      <x:c r="E47" s="39" t="str">
        <x:v>BOTTA Lorenzo</x:v>
      </x:c>
      <x:c r="F47" s="39" t="str">
        <x:v>2026PKEPBB_006</x:v>
      </x:c>
      <x:c r="G47" s="39" t="str">
        <x:v>Università degli Studi della TUSCIA</x:v>
      </x:c>
      <x:c r="H47" s="40" t="str">
        <x:v>80029030568</x:v>
      </x:c>
      <x:c r="I47" s="41" t="n">
        <x:v>34582</x:v>
      </x:c>
      <x:c r="J47" s="41" t="n">
        <x:v>165543</x:v>
      </x:c>
      <x:c r="K47" s="41" t="n">
        <x:v>200125</x:v>
      </x:c>
      <x:c r="L47" s="41" t="n">
        <x:v>165543</x:v>
      </x:c>
      <x:c r="M47" s="39" t="str">
        <x:v>Sì</x:v>
      </x:c>
    </x:row>
    <x:row r="48">
      <x:c r="A48" s="20" t="str">
        <x:v>Fonte: PE5 - Tabella B - Progetti finanziati, PDF allegato.</x:v>
      </x:c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</x:row>
  </x:sheetData>
  <x:mergeCells>
    <x:mergeCell ref="A1:M1"/>
    <x:mergeCell ref="A2:M2"/>
    <x:mergeCell ref="A48:M48"/>
  </x:mergeCells>
  <x:pageMargins left="0.7" right="0.7" top="0.75" bottom="0.75" header="0.3" footer="0.3"/>
  <x:tableParts count="1">
    <x:tablePart xmlns:r="http://schemas.openxmlformats.org/officeDocument/2006/relationships" r:id="R2bc90c3937f242f3"/>
  </x:tableParts>
</x:worksheet>
</file>